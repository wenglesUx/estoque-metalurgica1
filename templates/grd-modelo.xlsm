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f144e79d56a8a79/GRUPO HCM/[1] HCM Engenharia/[6] Suprimentos/[3] - ALMOXARIFADO/06-SGQ/GRD MATÉRIA-PRIMA E TINTAS/CARAMURU/"/>
    </mc:Choice>
  </mc:AlternateContent>
  <xr:revisionPtr revIDLastSave="417" documentId="13_ncr:1_{C096C1AF-DBA1-420A-B793-BFA523141A6D}" xr6:coauthVersionLast="47" xr6:coauthVersionMax="47" xr10:uidLastSave="{D57B270D-97DA-420B-9687-85C7C21F8F0D}"/>
  <bookViews>
    <workbookView xWindow="-108" yWindow="-108" windowWidth="23256" windowHeight="12456" activeTab="1" xr2:uid="{00000000-000D-0000-FFFF-FFFF00000000}"/>
  </bookViews>
  <sheets>
    <sheet name="Dados" sheetId="5" r:id="rId1"/>
    <sheet name="GRD " sheetId="6" r:id="rId2"/>
  </sheets>
  <definedNames>
    <definedName name="_xlnm._FilterDatabase" localSheetId="0" hidden="1">Dados!$T$1:$T$28</definedName>
    <definedName name="_xlnm.Print_Area" localSheetId="1">'GRD '!$A$1:$J$49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6" l="1"/>
  <c r="A13" i="6" s="1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A14" i="6" l="1"/>
  <c r="A15" i="6" s="1"/>
  <c r="A16" i="6" s="1"/>
  <c r="A17" i="6" s="1"/>
  <c r="H13" i="6"/>
  <c r="G13" i="6"/>
  <c r="I13" i="6"/>
  <c r="J13" i="6"/>
  <c r="A18" i="6" l="1"/>
  <c r="G14" i="6"/>
  <c r="G15" i="6" s="1"/>
  <c r="G16" i="6" s="1"/>
  <c r="G17" i="6" s="1"/>
  <c r="J14" i="6"/>
  <c r="J15" i="6" s="1"/>
  <c r="J16" i="6" s="1"/>
  <c r="J17" i="6" s="1"/>
  <c r="I14" i="6"/>
  <c r="I15" i="6" s="1"/>
  <c r="I16" i="6" s="1"/>
  <c r="I17" i="6" s="1"/>
  <c r="H14" i="6"/>
  <c r="H15" i="6" s="1"/>
  <c r="H16" i="6" s="1"/>
  <c r="H17" i="6" s="1"/>
  <c r="A19" i="6" l="1"/>
  <c r="H18" i="6"/>
  <c r="G18" i="6"/>
  <c r="J18" i="6"/>
  <c r="I18" i="6"/>
  <c r="H19" i="6" l="1"/>
  <c r="A20" i="6"/>
  <c r="J19" i="6"/>
  <c r="I19" i="6"/>
  <c r="G19" i="6"/>
  <c r="I20" i="6" l="1"/>
  <c r="H20" i="6"/>
  <c r="J20" i="6"/>
  <c r="A21" i="6"/>
  <c r="G20" i="6"/>
  <c r="H21" i="6" l="1"/>
  <c r="A22" i="6"/>
  <c r="A23" i="6" s="1"/>
  <c r="I21" i="6"/>
  <c r="G21" i="6"/>
  <c r="J21" i="6"/>
  <c r="A24" i="6" l="1"/>
  <c r="H22" i="6"/>
  <c r="H23" i="6" s="1"/>
  <c r="G22" i="6"/>
  <c r="G23" i="6" s="1"/>
  <c r="J22" i="6"/>
  <c r="J23" i="6" s="1"/>
  <c r="I22" i="6"/>
  <c r="I23" i="6" s="1"/>
  <c r="A25" i="6" l="1"/>
  <c r="I24" i="6"/>
  <c r="G24" i="6"/>
  <c r="H24" i="6"/>
  <c r="J24" i="6"/>
  <c r="H25" i="6" l="1"/>
  <c r="A26" i="6"/>
  <c r="A27" i="6" s="1"/>
  <c r="I25" i="6"/>
  <c r="J25" i="6"/>
  <c r="G25" i="6"/>
  <c r="A28" i="6" l="1"/>
  <c r="H26" i="6"/>
  <c r="H27" i="6" s="1"/>
  <c r="J26" i="6"/>
  <c r="J27" i="6" s="1"/>
  <c r="G26" i="6"/>
  <c r="G27" i="6" s="1"/>
  <c r="I26" i="6"/>
  <c r="I27" i="6" s="1"/>
  <c r="J28" i="6" l="1"/>
  <c r="I28" i="6"/>
  <c r="A29" i="6"/>
  <c r="A30" i="6" s="1"/>
  <c r="G28" i="6"/>
  <c r="H28" i="6"/>
  <c r="A31" i="6" l="1"/>
  <c r="A32" i="6" s="1"/>
  <c r="H29" i="6"/>
  <c r="H30" i="6" s="1"/>
  <c r="G29" i="6"/>
  <c r="G30" i="6" s="1"/>
  <c r="J29" i="6"/>
  <c r="J30" i="6" s="1"/>
  <c r="I29" i="6"/>
  <c r="I30" i="6" s="1"/>
  <c r="A33" i="6" l="1"/>
  <c r="H31" i="6"/>
  <c r="H32" i="6" s="1"/>
  <c r="J31" i="6"/>
  <c r="J32" i="6" s="1"/>
  <c r="G31" i="6"/>
  <c r="G32" i="6" s="1"/>
  <c r="I31" i="6"/>
  <c r="I32" i="6" s="1"/>
  <c r="H33" i="6" l="1"/>
  <c r="A34" i="6"/>
  <c r="I33" i="6"/>
  <c r="G33" i="6"/>
  <c r="J33" i="6"/>
  <c r="A35" i="6" l="1"/>
  <c r="J34" i="6"/>
  <c r="I34" i="6"/>
  <c r="G34" i="6"/>
  <c r="H34" i="6"/>
  <c r="H35" i="6" l="1"/>
  <c r="G35" i="6"/>
  <c r="J35" i="6"/>
  <c r="A36" i="6"/>
  <c r="I35" i="6"/>
  <c r="H36" i="6" l="1"/>
  <c r="A37" i="6"/>
  <c r="J36" i="6"/>
  <c r="I36" i="6"/>
  <c r="G36" i="6"/>
  <c r="H37" i="6" l="1"/>
  <c r="G37" i="6"/>
  <c r="J37" i="6"/>
  <c r="A38" i="6"/>
  <c r="I37" i="6"/>
  <c r="G38" i="6" l="1"/>
  <c r="J38" i="6"/>
  <c r="I38" i="6"/>
  <c r="H38" i="6"/>
</calcChain>
</file>

<file path=xl/sharedStrings.xml><?xml version="1.0" encoding="utf-8"?>
<sst xmlns="http://schemas.openxmlformats.org/spreadsheetml/2006/main" count="75" uniqueCount="54">
  <si>
    <t xml:space="preserve"> </t>
  </si>
  <si>
    <t>GRD</t>
  </si>
  <si>
    <t>GUIA DE REMESSA DE DOCUMENTOS</t>
  </si>
  <si>
    <t>ITEM:</t>
  </si>
  <si>
    <t>TIPO DE</t>
  </si>
  <si>
    <t>VIA</t>
  </si>
  <si>
    <t>QTD. DE</t>
  </si>
  <si>
    <t>VIAS</t>
  </si>
  <si>
    <t>DESCRIÇÃO:</t>
  </si>
  <si>
    <t>REV.</t>
  </si>
  <si>
    <t>PROVIDENCIAS</t>
  </si>
  <si>
    <t>NOME:</t>
  </si>
  <si>
    <t xml:space="preserve">DATA: _____/_____/_______ </t>
  </si>
  <si>
    <t>HORARIO: ____:____</t>
  </si>
  <si>
    <t>ME - MEIO ELETRONICO</t>
  </si>
  <si>
    <t>O - ORIGINAL</t>
  </si>
  <si>
    <t>MEIO</t>
  </si>
  <si>
    <t>TIPO DE VIA:</t>
  </si>
  <si>
    <t>F - FISICO (PAPEL)</t>
  </si>
  <si>
    <t>MEIO:</t>
  </si>
  <si>
    <t>C - CÓPIA</t>
  </si>
  <si>
    <t>ASS:</t>
  </si>
  <si>
    <t>REVISÃO: 00</t>
  </si>
  <si>
    <t>aço</t>
  </si>
  <si>
    <t>largura</t>
  </si>
  <si>
    <t>qntd</t>
  </si>
  <si>
    <t>NF:</t>
  </si>
  <si>
    <t>Unid</t>
  </si>
  <si>
    <t>Certif N°</t>
  </si>
  <si>
    <t>SETOR EMITENTE:  ALMOXARIFADO</t>
  </si>
  <si>
    <t>COMP</t>
  </si>
  <si>
    <t>TIPO</t>
  </si>
  <si>
    <t>BITOLA</t>
  </si>
  <si>
    <t>DATA</t>
  </si>
  <si>
    <t>.</t>
  </si>
  <si>
    <t>DAVID/ROBSON</t>
  </si>
  <si>
    <t>SETOR DESTINO: QUALIDADE</t>
  </si>
  <si>
    <t>NOME: TULIO/VITOR</t>
  </si>
  <si>
    <t>PEDIDO: N/C</t>
  </si>
  <si>
    <t>FOLHA: 1/1</t>
  </si>
  <si>
    <t>A572-GR 50</t>
  </si>
  <si>
    <t>W</t>
  </si>
  <si>
    <t>PÇ</t>
  </si>
  <si>
    <t>RELATÓRIO: 1</t>
  </si>
  <si>
    <t>OBRA:  PRÉDIO DE DESTILAÇÃO</t>
  </si>
  <si>
    <t>200X46.1</t>
  </si>
  <si>
    <t>150X22.5</t>
  </si>
  <si>
    <t>150X13</t>
  </si>
  <si>
    <t>HP</t>
  </si>
  <si>
    <t>310X79</t>
  </si>
  <si>
    <t>610X101</t>
  </si>
  <si>
    <t>200X59</t>
  </si>
  <si>
    <t>460X52</t>
  </si>
  <si>
    <t>CLIENTE: CARAMURU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</si>
</sst>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indexed="8"/>
      <name val="Arial"/>
      <family val="2"/>
    </font>
    <font>
      <b/>
      <sz val="13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9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6" fillId="0" borderId="1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" fillId="0" borderId="10" xfId="0" applyFont="1" applyBorder="1"/>
    <xf numFmtId="0" fontId="4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4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center" vertical="center"/>
    </xf>
    <xf numFmtId="14" fontId="1" fillId="0" borderId="11" xfId="0" applyNumberFormat="1" applyFont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4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0" fontId="0" fillId="2" borderId="12" xfId="0" quotePrefix="1" applyFill="1" applyBorder="1" applyAlignment="1">
      <alignment horizontal="center"/>
    </xf>
    <xf numFmtId="0" fontId="11" fillId="0" borderId="1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0" borderId="6" xfId="0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5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2" xfId="0" applyFont="1" applyBorder="1" applyAlignment="1">
      <alignment horizontal="left"/>
    </xf>
    <xf numFmtId="0" fontId="1" fillId="0" borderId="4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40</xdr:row>
          <xdr:rowOff>68580</xdr:rowOff>
        </xdr:from>
        <xdr:to>
          <xdr:col>2</xdr:col>
          <xdr:colOff>655320</xdr:colOff>
          <xdr:row>41</xdr:row>
          <xdr:rowOff>99060</xdr:rowOff>
        </xdr:to>
        <xdr:sp macro="" textlink="">
          <xdr:nvSpPr>
            <xdr:cNvPr id="3073" name="Caixa de seleção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USO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40</xdr:row>
          <xdr:rowOff>76200</xdr:rowOff>
        </xdr:from>
        <xdr:to>
          <xdr:col>4</xdr:col>
          <xdr:colOff>678180</xdr:colOff>
          <xdr:row>41</xdr:row>
          <xdr:rowOff>106680</xdr:rowOff>
        </xdr:to>
        <xdr:sp macro="" textlink="">
          <xdr:nvSpPr>
            <xdr:cNvPr id="3074" name="Caixa de seleção 3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INFORMAÇÃO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42</xdr:row>
          <xdr:rowOff>76200</xdr:rowOff>
        </xdr:from>
        <xdr:to>
          <xdr:col>4</xdr:col>
          <xdr:colOff>937260</xdr:colOff>
          <xdr:row>43</xdr:row>
          <xdr:rowOff>106680</xdr:rowOff>
        </xdr:to>
        <xdr:sp macro="" textlink="">
          <xdr:nvSpPr>
            <xdr:cNvPr id="3075" name="Caixa de seleção 5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LEITURA E DEVOLUÇÃO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42</xdr:row>
          <xdr:rowOff>76200</xdr:rowOff>
        </xdr:from>
        <xdr:to>
          <xdr:col>2</xdr:col>
          <xdr:colOff>640080</xdr:colOff>
          <xdr:row>43</xdr:row>
          <xdr:rowOff>99060</xdr:rowOff>
        </xdr:to>
        <xdr:sp macro="" textlink="">
          <xdr:nvSpPr>
            <xdr:cNvPr id="3076" name="Caixa de seleção 7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ANÁLISE E PARECER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41</xdr:row>
          <xdr:rowOff>68580</xdr:rowOff>
        </xdr:from>
        <xdr:to>
          <xdr:col>2</xdr:col>
          <xdr:colOff>373380</xdr:colOff>
          <xdr:row>42</xdr:row>
          <xdr:rowOff>99060</xdr:rowOff>
        </xdr:to>
        <xdr:sp macro="" textlink="">
          <xdr:nvSpPr>
            <xdr:cNvPr id="3077" name="Caixa de seleção 17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VERIFICAÇÃO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41</xdr:row>
          <xdr:rowOff>76200</xdr:rowOff>
        </xdr:from>
        <xdr:to>
          <xdr:col>4</xdr:col>
          <xdr:colOff>670560</xdr:colOff>
          <xdr:row>42</xdr:row>
          <xdr:rowOff>106680</xdr:rowOff>
        </xdr:to>
        <xdr:sp macro="" textlink="">
          <xdr:nvSpPr>
            <xdr:cNvPr id="3078" name="Caixa de seleção 18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APROVAÇÃO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43</xdr:row>
          <xdr:rowOff>76200</xdr:rowOff>
        </xdr:from>
        <xdr:to>
          <xdr:col>2</xdr:col>
          <xdr:colOff>403860</xdr:colOff>
          <xdr:row>44</xdr:row>
          <xdr:rowOff>53340</xdr:rowOff>
        </xdr:to>
        <xdr:sp macro="" textlink="">
          <xdr:nvSpPr>
            <xdr:cNvPr id="3079" name="Caixa de seleção 19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PARA COMENTARIOS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161363</xdr:colOff>
      <xdr:row>0</xdr:row>
      <xdr:rowOff>80683</xdr:rowOff>
    </xdr:from>
    <xdr:to>
      <xdr:col>1</xdr:col>
      <xdr:colOff>401276</xdr:colOff>
      <xdr:row>3</xdr:row>
      <xdr:rowOff>161365</xdr:rowOff>
    </xdr:to>
    <xdr:pic>
      <xdr:nvPicPr>
        <xdr:cNvPr id="5" name="Imagem 4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363" y="80683"/>
          <a:ext cx="715042" cy="6454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38"/>
  <sheetViews>
    <sheetView workbookViewId="0">
      <selection activeCell="F10" sqref="F10"/>
    </sheetView>
  </sheetViews>
  <sheetFormatPr defaultRowHeight="14.4" x14ac:dyDescent="0.3"/>
  <cols>
    <col min="1" max="1" width="16" style="6" bestFit="1" customWidth="1"/>
    <col min="2" max="2" width="5.88671875" style="6" customWidth="1"/>
    <col min="3" max="3" width="35.109375" style="6" bestFit="1" customWidth="1"/>
    <col min="4" max="5" width="11" style="6" customWidth="1"/>
    <col min="6" max="7" width="9.109375" style="6"/>
    <col min="8" max="8" width="15" style="6" bestFit="1" customWidth="1"/>
    <col min="9" max="9" width="11.44140625" style="6" customWidth="1"/>
  </cols>
  <sheetData>
    <row r="1" spans="1:9" x14ac:dyDescent="0.3">
      <c r="A1" s="48" t="s">
        <v>1</v>
      </c>
      <c r="B1" s="49"/>
      <c r="C1" s="49"/>
      <c r="D1" s="49"/>
      <c r="E1" s="49"/>
      <c r="F1" s="49"/>
      <c r="G1" s="49"/>
      <c r="H1" s="49"/>
      <c r="I1" s="50"/>
    </row>
    <row r="2" spans="1:9" x14ac:dyDescent="0.3">
      <c r="A2" s="38" t="s">
        <v>28</v>
      </c>
      <c r="B2" s="38" t="s">
        <v>31</v>
      </c>
      <c r="C2" s="38" t="s">
        <v>32</v>
      </c>
      <c r="D2" s="38" t="s">
        <v>30</v>
      </c>
      <c r="E2" s="38" t="s">
        <v>24</v>
      </c>
      <c r="F2" s="38" t="s">
        <v>25</v>
      </c>
      <c r="G2" s="38" t="s">
        <v>27</v>
      </c>
      <c r="H2" s="38" t="s">
        <v>23</v>
      </c>
      <c r="I2" s="38" t="s">
        <v>26</v>
      </c>
    </row>
    <row r="3" spans="1:9" x14ac:dyDescent="0.3">
      <c r="A3" s="39">
        <v>8159752462</v>
      </c>
      <c r="B3" s="41" t="s">
        <v>41</v>
      </c>
      <c r="C3" s="41" t="s">
        <v>45</v>
      </c>
      <c r="D3" s="46">
        <v>12000</v>
      </c>
      <c r="E3" s="28"/>
      <c r="F3" s="28">
        <v>9</v>
      </c>
      <c r="G3" s="41" t="s">
        <v>42</v>
      </c>
      <c r="H3" s="28" t="s">
        <v>40</v>
      </c>
      <c r="I3" s="39">
        <v>2881085</v>
      </c>
    </row>
    <row r="4" spans="1:9" x14ac:dyDescent="0.3">
      <c r="A4" s="39">
        <v>8159754283</v>
      </c>
      <c r="B4" s="41" t="s">
        <v>41</v>
      </c>
      <c r="C4" s="41" t="s">
        <v>46</v>
      </c>
      <c r="D4" s="46">
        <v>12000</v>
      </c>
      <c r="E4" s="28"/>
      <c r="F4" s="28">
        <v>14</v>
      </c>
      <c r="G4" s="41" t="s">
        <v>42</v>
      </c>
      <c r="H4" s="28" t="s">
        <v>40</v>
      </c>
      <c r="I4" s="39">
        <v>2881085</v>
      </c>
    </row>
    <row r="5" spans="1:9" x14ac:dyDescent="0.3">
      <c r="A5" s="39">
        <v>8159754284</v>
      </c>
      <c r="B5" s="41" t="s">
        <v>41</v>
      </c>
      <c r="C5" s="41" t="s">
        <v>47</v>
      </c>
      <c r="D5" s="46">
        <v>12000</v>
      </c>
      <c r="E5" s="28"/>
      <c r="F5" s="28">
        <v>15</v>
      </c>
      <c r="G5" s="41" t="s">
        <v>42</v>
      </c>
      <c r="H5" s="28" t="s">
        <v>40</v>
      </c>
      <c r="I5" s="39">
        <v>2881085</v>
      </c>
    </row>
    <row r="6" spans="1:9" x14ac:dyDescent="0.3">
      <c r="A6" s="39">
        <v>8159768837</v>
      </c>
      <c r="B6" s="41" t="s">
        <v>48</v>
      </c>
      <c r="C6" s="41" t="s">
        <v>49</v>
      </c>
      <c r="D6" s="46">
        <v>12000</v>
      </c>
      <c r="E6" s="28"/>
      <c r="F6" s="28">
        <v>2</v>
      </c>
      <c r="G6" s="41" t="s">
        <v>42</v>
      </c>
      <c r="H6" s="28" t="s">
        <v>40</v>
      </c>
      <c r="I6" s="39">
        <v>2881085</v>
      </c>
    </row>
    <row r="7" spans="1:9" x14ac:dyDescent="0.3">
      <c r="A7" s="39">
        <v>8159768838</v>
      </c>
      <c r="B7" s="41" t="s">
        <v>41</v>
      </c>
      <c r="C7" s="47" t="s">
        <v>50</v>
      </c>
      <c r="D7" s="46">
        <v>12000</v>
      </c>
      <c r="E7" s="28"/>
      <c r="F7" s="28">
        <v>2</v>
      </c>
      <c r="G7" s="41" t="s">
        <v>42</v>
      </c>
      <c r="H7" s="28" t="s">
        <v>40</v>
      </c>
      <c r="I7" s="39">
        <v>2881085</v>
      </c>
    </row>
    <row r="8" spans="1:9" x14ac:dyDescent="0.3">
      <c r="A8" s="39">
        <v>8159789395</v>
      </c>
      <c r="B8" s="41" t="s">
        <v>41</v>
      </c>
      <c r="C8" s="41" t="s">
        <v>51</v>
      </c>
      <c r="D8" s="46">
        <v>12000</v>
      </c>
      <c r="E8" s="28"/>
      <c r="F8" s="28">
        <v>4</v>
      </c>
      <c r="G8" s="41" t="s">
        <v>42</v>
      </c>
      <c r="H8" s="28" t="s">
        <v>40</v>
      </c>
      <c r="I8" s="39">
        <v>2881085</v>
      </c>
    </row>
    <row r="9" spans="1:9" x14ac:dyDescent="0.3">
      <c r="A9" s="39">
        <v>8159789470</v>
      </c>
      <c r="B9" s="41" t="s">
        <v>41</v>
      </c>
      <c r="C9" s="41" t="s">
        <v>52</v>
      </c>
      <c r="D9" s="46">
        <v>12000</v>
      </c>
      <c r="E9" s="28"/>
      <c r="F9" s="28">
        <v>4</v>
      </c>
      <c r="G9" s="41" t="s">
        <v>42</v>
      </c>
      <c r="H9" s="28" t="s">
        <v>40</v>
      </c>
      <c r="I9" s="39">
        <v>2881085</v>
      </c>
    </row>
    <row r="10" spans="1:9" x14ac:dyDescent="0.3">
      <c r="A10" s="39"/>
      <c r="B10" s="41"/>
      <c r="C10" s="41"/>
      <c r="D10" s="46"/>
      <c r="E10" s="28"/>
      <c r="F10" s="28"/>
      <c r="G10" s="41"/>
      <c r="H10" s="28"/>
      <c r="I10" s="39"/>
    </row>
    <row r="11" spans="1:9" x14ac:dyDescent="0.3">
      <c r="A11" s="39"/>
      <c r="B11" s="41"/>
      <c r="C11" s="41"/>
      <c r="D11" s="46"/>
      <c r="E11" s="28"/>
      <c r="F11" s="28"/>
      <c r="G11" s="41"/>
      <c r="H11" s="28"/>
      <c r="I11" s="39"/>
    </row>
    <row r="12" spans="1:9" x14ac:dyDescent="0.3">
      <c r="A12" s="39"/>
      <c r="B12" s="41"/>
      <c r="C12" s="41"/>
      <c r="D12" s="46"/>
      <c r="E12" s="28"/>
      <c r="F12" s="28"/>
      <c r="G12" s="41"/>
      <c r="H12" s="28"/>
      <c r="I12" s="39"/>
    </row>
    <row r="13" spans="1:9" x14ac:dyDescent="0.3">
      <c r="A13" s="39"/>
      <c r="B13" s="41"/>
      <c r="C13" s="41"/>
      <c r="D13" s="46"/>
      <c r="E13" s="28"/>
      <c r="F13" s="39"/>
      <c r="G13" s="41"/>
      <c r="H13" s="28"/>
      <c r="I13" s="39"/>
    </row>
    <row r="14" spans="1:9" x14ac:dyDescent="0.3">
      <c r="A14" s="39"/>
      <c r="B14" s="41"/>
      <c r="C14" s="41"/>
      <c r="D14" s="46"/>
      <c r="E14" s="28"/>
      <c r="F14" s="28"/>
      <c r="G14" s="41"/>
      <c r="H14" s="28"/>
      <c r="I14" s="39"/>
    </row>
    <row r="15" spans="1:9" x14ac:dyDescent="0.3">
      <c r="A15" s="39"/>
      <c r="B15" s="41"/>
      <c r="C15" s="41"/>
      <c r="D15" s="46"/>
      <c r="E15" s="28"/>
      <c r="F15" s="28"/>
      <c r="G15" s="41"/>
      <c r="H15" s="28"/>
      <c r="I15" s="39"/>
    </row>
    <row r="16" spans="1:9" x14ac:dyDescent="0.3">
      <c r="A16" s="39"/>
      <c r="B16" s="41"/>
      <c r="C16" s="41"/>
      <c r="D16" s="46"/>
      <c r="E16" s="28"/>
      <c r="F16" s="28"/>
      <c r="G16" s="41"/>
      <c r="H16" s="28"/>
      <c r="I16" s="39"/>
    </row>
    <row r="17" spans="1:9" x14ac:dyDescent="0.3">
      <c r="A17" s="39"/>
      <c r="B17" s="41"/>
      <c r="C17" s="41"/>
      <c r="D17" s="46"/>
      <c r="E17" s="28"/>
      <c r="F17" s="28"/>
      <c r="G17" s="41"/>
      <c r="H17" s="28"/>
      <c r="I17" s="39"/>
    </row>
    <row r="18" spans="1:9" x14ac:dyDescent="0.3">
      <c r="A18" s="39"/>
      <c r="B18" s="41"/>
      <c r="C18" s="41"/>
      <c r="D18" s="46"/>
      <c r="E18" s="28"/>
      <c r="F18" s="28"/>
      <c r="G18" s="41"/>
      <c r="H18" s="28"/>
      <c r="I18" s="39"/>
    </row>
    <row r="19" spans="1:9" x14ac:dyDescent="0.3">
      <c r="A19" s="39"/>
      <c r="B19" s="41"/>
      <c r="C19" s="41"/>
      <c r="D19" s="46"/>
      <c r="E19" s="28"/>
      <c r="F19" s="28"/>
      <c r="G19" s="41"/>
      <c r="H19" s="28"/>
      <c r="I19" s="39"/>
    </row>
    <row r="20" spans="1:9" x14ac:dyDescent="0.3">
      <c r="A20" s="39"/>
      <c r="B20" s="41"/>
      <c r="C20" s="40"/>
      <c r="D20" s="37"/>
      <c r="E20" s="39"/>
      <c r="F20" s="28"/>
      <c r="G20" s="41"/>
      <c r="H20" s="28"/>
      <c r="I20" s="39"/>
    </row>
    <row r="21" spans="1:9" x14ac:dyDescent="0.3">
      <c r="A21" s="39"/>
      <c r="B21" s="41"/>
      <c r="C21" s="40"/>
      <c r="D21" s="37"/>
      <c r="E21" s="39"/>
      <c r="F21" s="28"/>
      <c r="G21" s="41"/>
      <c r="H21" s="28"/>
      <c r="I21" s="39"/>
    </row>
    <row r="22" spans="1:9" x14ac:dyDescent="0.3">
      <c r="A22" s="39"/>
      <c r="B22" s="41"/>
      <c r="C22" s="40"/>
      <c r="D22" s="37"/>
      <c r="E22" s="39"/>
      <c r="F22" s="28"/>
      <c r="G22" s="41"/>
      <c r="H22" s="28"/>
      <c r="I22" s="39"/>
    </row>
    <row r="23" spans="1:9" x14ac:dyDescent="0.3">
      <c r="A23" s="39"/>
      <c r="B23" s="41"/>
      <c r="C23" s="40"/>
      <c r="D23" s="37"/>
      <c r="E23" s="39"/>
      <c r="F23" s="28"/>
      <c r="G23" s="41"/>
      <c r="H23" s="28"/>
      <c r="I23" s="39"/>
    </row>
    <row r="24" spans="1:9" x14ac:dyDescent="0.3">
      <c r="A24" s="39"/>
      <c r="B24" s="41"/>
      <c r="C24" s="40"/>
      <c r="D24" s="37"/>
      <c r="E24" s="39"/>
      <c r="F24" s="28"/>
      <c r="G24" s="41"/>
      <c r="H24" s="28"/>
      <c r="I24" s="39"/>
    </row>
    <row r="25" spans="1:9" x14ac:dyDescent="0.3">
      <c r="A25" s="39"/>
      <c r="B25" s="41"/>
      <c r="C25" s="40"/>
      <c r="D25" s="37"/>
      <c r="E25" s="39"/>
      <c r="F25" s="28"/>
      <c r="G25" s="41"/>
      <c r="H25" s="28"/>
      <c r="I25" s="39"/>
    </row>
    <row r="26" spans="1:9" x14ac:dyDescent="0.3">
      <c r="A26" s="39"/>
      <c r="B26" s="41"/>
      <c r="C26" s="40"/>
      <c r="D26" s="37"/>
      <c r="E26" s="39"/>
      <c r="F26" s="28"/>
      <c r="G26" s="41"/>
      <c r="H26" s="28"/>
      <c r="I26" s="39"/>
    </row>
    <row r="27" spans="1:9" x14ac:dyDescent="0.3">
      <c r="A27" s="39"/>
      <c r="B27" s="41"/>
      <c r="C27" s="40"/>
      <c r="D27" s="37"/>
      <c r="E27" s="39"/>
      <c r="F27" s="28"/>
      <c r="G27" s="41"/>
      <c r="H27" s="28"/>
      <c r="I27" s="39"/>
    </row>
    <row r="28" spans="1:9" x14ac:dyDescent="0.3">
      <c r="A28" s="39"/>
      <c r="B28" s="41"/>
      <c r="C28" s="40"/>
      <c r="D28" s="37"/>
      <c r="E28" s="39"/>
      <c r="F28" s="28"/>
      <c r="G28" s="41"/>
      <c r="H28" s="28"/>
      <c r="I28" s="39"/>
    </row>
    <row r="38" spans="3:3" x14ac:dyDescent="0.3">
      <c r="C38" s="6" t="s">
        <v>34</v>
      </c>
    </row>
  </sheetData>
  <autoFilter ref="T1:T28" xr:uid="{00000000-0009-0000-0000-000000000000}">
    <sortState xmlns:xlrd2="http://schemas.microsoft.com/office/spreadsheetml/2017/richdata2" ref="T2:T28">
      <sortCondition ref="T1:T28"/>
    </sortState>
  </autoFilter>
  <mergeCells count="1">
    <mergeCell ref="A1:I1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pageSetUpPr fitToPage="1"/>
  </sheetPr>
  <dimension ref="A1:K80"/>
  <sheetViews>
    <sheetView tabSelected="1" view="pageBreakPreview" zoomScale="85" zoomScaleNormal="100" zoomScaleSheetLayoutView="85" workbookViewId="0">
      <selection activeCell="I1" sqref="I1:J1"/>
    </sheetView>
  </sheetViews>
  <sheetFormatPr defaultRowHeight="14.4" x14ac:dyDescent="0.3"/>
  <cols>
    <col min="1" max="1" width="6.88671875" customWidth="1"/>
    <col min="2" max="2" width="7.44140625" customWidth="1"/>
    <col min="3" max="3" width="10.5546875" customWidth="1"/>
    <col min="4" max="4" width="10" customWidth="1"/>
    <col min="5" max="5" width="21.44140625" customWidth="1"/>
    <col min="6" max="6" width="28.5546875" customWidth="1"/>
    <col min="7" max="7" width="6.109375" customWidth="1"/>
    <col min="8" max="8" width="7.88671875" customWidth="1"/>
    <col min="9" max="9" width="8.109375" customWidth="1"/>
    <col min="10" max="10" width="10.88671875" bestFit="1" customWidth="1"/>
    <col min="12" max="12" width="13.5546875" customWidth="1"/>
    <col min="13" max="13" width="6" customWidth="1"/>
    <col min="14" max="14" width="7.88671875" bestFit="1" customWidth="1"/>
    <col min="15" max="15" width="6.5546875" bestFit="1" customWidth="1"/>
    <col min="16" max="16" width="7.33203125" bestFit="1" customWidth="1"/>
    <col min="17" max="18" width="5" bestFit="1" customWidth="1"/>
    <col min="19" max="19" width="11.44140625" bestFit="1" customWidth="1"/>
    <col min="20" max="20" width="6.5546875" bestFit="1" customWidth="1"/>
    <col min="24" max="24" width="11.33203125" bestFit="1" customWidth="1"/>
  </cols>
  <sheetData>
    <row r="1" spans="1:11" ht="15" customHeight="1" x14ac:dyDescent="0.3">
      <c r="A1" s="84"/>
      <c r="B1" s="85"/>
      <c r="C1" s="90" t="s">
        <v>1</v>
      </c>
      <c r="D1" s="91"/>
      <c r="E1" s="91"/>
      <c r="F1" s="91"/>
      <c r="G1" s="91"/>
      <c r="H1" s="92"/>
      <c r="I1" s="103" t="s">
        <v>43</v>
      </c>
      <c r="J1" s="104"/>
    </row>
    <row r="2" spans="1:11" ht="15" customHeight="1" x14ac:dyDescent="0.3">
      <c r="A2" s="86"/>
      <c r="B2" s="87"/>
      <c r="C2" s="93"/>
      <c r="D2" s="94"/>
      <c r="E2" s="94"/>
      <c r="F2" s="94"/>
      <c r="G2" s="94"/>
      <c r="H2" s="95"/>
      <c r="I2" s="27" t="s">
        <v>33</v>
      </c>
      <c r="J2" s="36">
        <v>45325</v>
      </c>
    </row>
    <row r="3" spans="1:11" ht="15" customHeight="1" x14ac:dyDescent="0.3">
      <c r="A3" s="86"/>
      <c r="B3" s="87"/>
      <c r="C3" s="93" t="s">
        <v>2</v>
      </c>
      <c r="D3" s="94"/>
      <c r="E3" s="94"/>
      <c r="F3" s="94"/>
      <c r="G3" s="94"/>
      <c r="H3" s="95"/>
      <c r="I3" s="99" t="s">
        <v>39</v>
      </c>
      <c r="J3" s="100"/>
      <c r="K3" t="s">
        <v>0</v>
      </c>
    </row>
    <row r="4" spans="1:11" ht="15" customHeight="1" x14ac:dyDescent="0.3">
      <c r="A4" s="88"/>
      <c r="B4" s="89"/>
      <c r="C4" s="96"/>
      <c r="D4" s="97"/>
      <c r="E4" s="97"/>
      <c r="F4" s="97"/>
      <c r="G4" s="97"/>
      <c r="H4" s="98"/>
      <c r="I4" s="101" t="s">
        <v>22</v>
      </c>
      <c r="J4" s="102"/>
    </row>
    <row r="5" spans="1:11" ht="8.1" customHeight="1" x14ac:dyDescent="0.3">
      <c r="A5" s="1"/>
      <c r="B5" s="1"/>
      <c r="C5" s="1"/>
      <c r="D5" s="1"/>
      <c r="E5" s="1"/>
      <c r="F5" s="1"/>
      <c r="G5" s="1"/>
      <c r="H5" s="1"/>
      <c r="I5" s="2"/>
      <c r="J5" s="1"/>
    </row>
    <row r="6" spans="1:11" ht="8.1" customHeight="1" x14ac:dyDescent="0.3">
      <c r="A6" s="3"/>
      <c r="B6" s="4"/>
      <c r="C6" s="72"/>
      <c r="D6" s="72"/>
      <c r="E6" s="72"/>
      <c r="F6" s="3"/>
      <c r="G6" s="72"/>
      <c r="H6" s="72"/>
      <c r="I6" s="4"/>
      <c r="J6" s="5"/>
    </row>
    <row r="7" spans="1:11" ht="15" customHeight="1" x14ac:dyDescent="0.3">
      <c r="A7" s="73" t="s">
        <v>53</v>
      </c>
      <c r="B7" s="74"/>
      <c r="C7" s="74"/>
      <c r="D7" s="74"/>
      <c r="E7" s="75"/>
      <c r="F7" s="73" t="s">
        <v>44</v>
      </c>
      <c r="G7" s="74"/>
      <c r="H7" s="74"/>
      <c r="I7" s="74"/>
      <c r="J7" s="75"/>
      <c r="K7" s="6"/>
    </row>
    <row r="8" spans="1:11" ht="8.1" customHeight="1" x14ac:dyDescent="0.3">
      <c r="A8" s="7"/>
      <c r="B8" s="8"/>
      <c r="C8" s="76"/>
      <c r="D8" s="76"/>
      <c r="E8" s="76"/>
      <c r="F8" s="7"/>
      <c r="G8" s="76"/>
      <c r="H8" s="76"/>
      <c r="I8" s="8"/>
      <c r="J8" s="9"/>
    </row>
    <row r="9" spans="1:11" ht="8.1" customHeight="1" x14ac:dyDescent="0.3"/>
    <row r="10" spans="1:11" s="11" customFormat="1" ht="15" customHeight="1" x14ac:dyDescent="0.3">
      <c r="A10" s="77" t="s">
        <v>3</v>
      </c>
      <c r="B10" s="77" t="s">
        <v>8</v>
      </c>
      <c r="C10" s="77"/>
      <c r="D10" s="77"/>
      <c r="E10" s="77"/>
      <c r="F10" s="77"/>
      <c r="G10" s="77" t="s">
        <v>9</v>
      </c>
      <c r="H10" s="44" t="s">
        <v>4</v>
      </c>
      <c r="I10" s="44" t="s">
        <v>6</v>
      </c>
      <c r="J10" s="78" t="s">
        <v>16</v>
      </c>
    </row>
    <row r="11" spans="1:11" s="11" customFormat="1" ht="15" customHeight="1" x14ac:dyDescent="0.3">
      <c r="A11" s="77"/>
      <c r="B11" s="77"/>
      <c r="C11" s="77"/>
      <c r="D11" s="77"/>
      <c r="E11" s="77"/>
      <c r="F11" s="77"/>
      <c r="G11" s="77"/>
      <c r="H11" s="45" t="s">
        <v>5</v>
      </c>
      <c r="I11" s="45" t="s">
        <v>7</v>
      </c>
      <c r="J11" s="79"/>
    </row>
    <row r="12" spans="1:11" s="11" customFormat="1" ht="8.1" customHeight="1" x14ac:dyDescent="0.3"/>
    <row r="13" spans="1:11" s="11" customFormat="1" ht="20.100000000000001" customHeight="1" x14ac:dyDescent="0.3">
      <c r="A13" s="35">
        <f>IF(B13="","",A12+1)</f>
        <v>1</v>
      </c>
      <c r="B13" s="30" t="str">
        <f>IF(Dados!A3="","",IF(Dados!B3="CH",CONCATENATE(Dados!$A$2," ",Dados!A3," ",Dados!B3," ",Dados!C3," X ",Dados!E3," X ",Dados!D3," ",Dados!H3," ",Dados!$I$2,Dados!I3," - ",Dados!F3,Dados!G3),CONCATENATE(Dados!$A$2," ",Dados!A3," ",Dados!B3," ",Dados!C3," X ",Dados!E3,Dados!D3," ",Dados!H3," ",Dados!$I$2,Dados!I3," - ",Dados!F3,Dados!G3)))</f>
        <v>Certif N° 8159752462 W 200X46.1 X 12000 A572-GR 50 NF:2881085 - 9PÇ</v>
      </c>
      <c r="C13" s="31"/>
      <c r="D13" s="31"/>
      <c r="E13" s="31"/>
      <c r="F13" s="32"/>
      <c r="G13" s="28">
        <f t="shared" ref="G13:J28" si="0">IF($A13="","",G12)</f>
        <v>0</v>
      </c>
      <c r="H13" s="28" t="str">
        <f>IF($A13="","","O")</f>
        <v>O</v>
      </c>
      <c r="I13" s="28">
        <f>IF($A13="","",2)</f>
        <v>2</v>
      </c>
      <c r="J13" s="28" t="str">
        <f>IF($A13="","","F/ME")</f>
        <v>F/ME</v>
      </c>
    </row>
    <row r="14" spans="1:11" s="11" customFormat="1" ht="20.100000000000001" customHeight="1" x14ac:dyDescent="0.3">
      <c r="A14" s="35">
        <f t="shared" ref="A14:A38" si="1">IF(B14="","",A13+1)</f>
        <v>2</v>
      </c>
      <c r="B14" s="30" t="str">
        <f>IF(Dados!A4="","",IF(Dados!B4="CH",CONCATENATE(Dados!$A$2," ",Dados!A4," ",Dados!B4," ",Dados!C4," X ",Dados!E4," X ",Dados!D4," ",Dados!H4," ",Dados!$I$2,Dados!I4," - ",Dados!F4,Dados!G4),CONCATENATE(Dados!$A$2," ",Dados!A4," ",Dados!B4," ",Dados!C4," X ",Dados!E4,Dados!D4," ",Dados!H4," ",Dados!$I$2,Dados!I4," - ",Dados!F4,Dados!G4)))</f>
        <v>Certif N° 8159754283 W 150X22.5 X 12000 A572-GR 50 NF:2881085 - 14PÇ</v>
      </c>
      <c r="C14" s="31"/>
      <c r="D14" s="31"/>
      <c r="E14" s="31"/>
      <c r="F14" s="32"/>
      <c r="G14" s="28">
        <f t="shared" si="0"/>
        <v>0</v>
      </c>
      <c r="H14" s="28" t="str">
        <f t="shared" si="0"/>
        <v>O</v>
      </c>
      <c r="I14" s="28">
        <f t="shared" si="0"/>
        <v>2</v>
      </c>
      <c r="J14" s="28" t="str">
        <f>IF($A14="","",J13)</f>
        <v>F/ME</v>
      </c>
    </row>
    <row r="15" spans="1:11" s="11" customFormat="1" ht="20.100000000000001" customHeight="1" x14ac:dyDescent="0.3">
      <c r="A15" s="35">
        <f t="shared" si="1"/>
        <v>3</v>
      </c>
      <c r="B15" s="30" t="str">
        <f>IF(Dados!A5="","",IF(Dados!B5="CH",CONCATENATE(Dados!$A$2," ",Dados!A5," ",Dados!B5," ",Dados!C5," X ",Dados!E5," X ",Dados!D5," ",Dados!H5," ",Dados!$I$2,Dados!I5," - ",Dados!F5,Dados!G5),CONCATENATE(Dados!$A$2," ",Dados!A5," ",Dados!B5," ",Dados!C5," X ",Dados!E5,Dados!D5," ",Dados!H5," ",Dados!$I$2,Dados!I5," - ",Dados!F5,Dados!G5)))</f>
        <v>Certif N° 8159754284 W 150X13 X 12000 A572-GR 50 NF:2881085 - 15PÇ</v>
      </c>
      <c r="C15" s="31"/>
      <c r="D15" s="31"/>
      <c r="E15" s="31"/>
      <c r="F15" s="32"/>
      <c r="G15" s="28">
        <f t="shared" si="0"/>
        <v>0</v>
      </c>
      <c r="H15" s="28" t="str">
        <f t="shared" si="0"/>
        <v>O</v>
      </c>
      <c r="I15" s="28">
        <f t="shared" si="0"/>
        <v>2</v>
      </c>
      <c r="J15" s="28" t="str">
        <f t="shared" si="0"/>
        <v>F/ME</v>
      </c>
    </row>
    <row r="16" spans="1:11" s="11" customFormat="1" ht="20.100000000000001" customHeight="1" x14ac:dyDescent="0.3">
      <c r="A16" s="35">
        <f t="shared" si="1"/>
        <v>4</v>
      </c>
      <c r="B16" s="30" t="str">
        <f>IF(Dados!A6="","",IF(Dados!B6="CH",CONCATENATE(Dados!$A$2," ",Dados!A6," ",Dados!B6," ",Dados!C6," X ",Dados!E6," X ",Dados!D6," ",Dados!H6," ",Dados!$I$2,Dados!I6," - ",Dados!F6,Dados!G6),CONCATENATE(Dados!$A$2," ",Dados!A6," ",Dados!B6," ",Dados!C6," X ",Dados!E6,Dados!D6," ",Dados!H6," ",Dados!$I$2,Dados!I6," - ",Dados!F6,Dados!G6)))</f>
        <v>Certif N° 8159768837 HP 310X79 X 12000 A572-GR 50 NF:2881085 - 2PÇ</v>
      </c>
      <c r="C16" s="31"/>
      <c r="D16" s="31"/>
      <c r="E16" s="31"/>
      <c r="F16" s="32"/>
      <c r="G16" s="28">
        <f t="shared" si="0"/>
        <v>0</v>
      </c>
      <c r="H16" s="28" t="str">
        <f t="shared" si="0"/>
        <v>O</v>
      </c>
      <c r="I16" s="28">
        <f t="shared" si="0"/>
        <v>2</v>
      </c>
      <c r="J16" s="28" t="str">
        <f t="shared" si="0"/>
        <v>F/ME</v>
      </c>
    </row>
    <row r="17" spans="1:10" s="11" customFormat="1" ht="20.100000000000001" customHeight="1" x14ac:dyDescent="0.3">
      <c r="A17" s="35">
        <f t="shared" si="1"/>
        <v>5</v>
      </c>
      <c r="B17" s="30" t="str">
        <f>IF(Dados!A7="","",IF(Dados!B7="CH",CONCATENATE(Dados!$A$2," ",Dados!A7," ",Dados!B7," ",Dados!C7," X ",Dados!E7," X ",Dados!D7," ",Dados!H7," ",Dados!$I$2,Dados!I7," - ",Dados!F7,Dados!G7),CONCATENATE(Dados!$A$2," ",Dados!A7," ",Dados!B7," ",Dados!C7," X ",Dados!E7,Dados!D7," ",Dados!H7," ",Dados!$I$2,Dados!I7," - ",Dados!F7,Dados!G7)))</f>
        <v>Certif N° 8159768838 W 610X101 X 12000 A572-GR 50 NF:2881085 - 2PÇ</v>
      </c>
      <c r="C17" s="31"/>
      <c r="D17" s="31"/>
      <c r="E17" s="31"/>
      <c r="F17" s="32"/>
      <c r="G17" s="28">
        <f t="shared" si="0"/>
        <v>0</v>
      </c>
      <c r="H17" s="28" t="str">
        <f t="shared" si="0"/>
        <v>O</v>
      </c>
      <c r="I17" s="28">
        <f t="shared" si="0"/>
        <v>2</v>
      </c>
      <c r="J17" s="28" t="str">
        <f t="shared" si="0"/>
        <v>F/ME</v>
      </c>
    </row>
    <row r="18" spans="1:10" s="11" customFormat="1" ht="20.100000000000001" customHeight="1" x14ac:dyDescent="0.3">
      <c r="A18" s="35">
        <f t="shared" si="1"/>
        <v>6</v>
      </c>
      <c r="B18" s="30" t="str">
        <f>IF(Dados!A8="","",IF(Dados!B8="CH",CONCATENATE(Dados!$A$2," ",Dados!A8," ",Dados!B8," ",Dados!C8," X ",Dados!E8," X ",Dados!D8," ",Dados!H8," ",Dados!$I$2,Dados!I8," - ",Dados!F8,Dados!G8),CONCATENATE(Dados!$A$2," ",Dados!A8," ",Dados!B8," ",Dados!C8," X ",Dados!E8,Dados!D8," ",Dados!H8," ",Dados!$I$2,Dados!I8," - ",Dados!F8,Dados!G8)))</f>
        <v>Certif N° 8159789395 W 200X59 X 12000 A572-GR 50 NF:2881085 - 4PÇ</v>
      </c>
      <c r="C18" s="31"/>
      <c r="D18" s="31"/>
      <c r="E18" s="31"/>
      <c r="F18" s="32"/>
      <c r="G18" s="28">
        <f t="shared" si="0"/>
        <v>0</v>
      </c>
      <c r="H18" s="28" t="str">
        <f t="shared" si="0"/>
        <v>O</v>
      </c>
      <c r="I18" s="28">
        <f t="shared" si="0"/>
        <v>2</v>
      </c>
      <c r="J18" s="28" t="str">
        <f t="shared" si="0"/>
        <v>F/ME</v>
      </c>
    </row>
    <row r="19" spans="1:10" s="11" customFormat="1" ht="20.100000000000001" customHeight="1" x14ac:dyDescent="0.3">
      <c r="A19" s="35">
        <f t="shared" si="1"/>
        <v>7</v>
      </c>
      <c r="B19" s="30" t="str">
        <f>IF(Dados!A9="","",IF(Dados!B9="CH",CONCATENATE(Dados!$A$2," ",Dados!A9," ",Dados!B9," ",Dados!C9," X ",Dados!E9," X ",Dados!D9," ",Dados!H9," ",Dados!$I$2,Dados!I9," - ",Dados!F9,Dados!G9),CONCATENATE(Dados!$A$2," ",Dados!A9," ",Dados!B9," ",Dados!C9," X ",Dados!E9,Dados!D9," ",Dados!H9," ",Dados!$I$2,Dados!I9," - ",Dados!F9,Dados!G9)))</f>
        <v>Certif N° 8159789470 W 460X52 X 12000 A572-GR 50 NF:2881085 - 4PÇ</v>
      </c>
      <c r="C19" s="31"/>
      <c r="D19" s="31"/>
      <c r="E19" s="31"/>
      <c r="F19" s="32"/>
      <c r="G19" s="28">
        <f t="shared" si="0"/>
        <v>0</v>
      </c>
      <c r="H19" s="28" t="str">
        <f t="shared" si="0"/>
        <v>O</v>
      </c>
      <c r="I19" s="28">
        <f t="shared" si="0"/>
        <v>2</v>
      </c>
      <c r="J19" s="28" t="str">
        <f t="shared" si="0"/>
        <v>F/ME</v>
      </c>
    </row>
    <row r="20" spans="1:10" s="11" customFormat="1" ht="20.100000000000001" customHeight="1" x14ac:dyDescent="0.3">
      <c r="A20" s="35" t="str">
        <f t="shared" si="1"/>
        <v/>
      </c>
      <c r="B20" s="30" t="str">
        <f>IF(Dados!A10="","",IF(Dados!B10="CH",CONCATENATE(Dados!$A$2," ",Dados!A10," ",Dados!B10," ",Dados!C10," X ",Dados!E10," X ",Dados!D10," ",Dados!H10," ",Dados!$I$2,Dados!I10," - ",Dados!F10,Dados!G10),CONCATENATE(Dados!$A$2," ",Dados!A10," ",Dados!B10," ",Dados!C10," X ",Dados!E10,Dados!D10," ",Dados!H10," ",Dados!$I$2,Dados!I10," - ",Dados!F10,Dados!G10)))</f>
        <v/>
      </c>
      <c r="C20" s="31"/>
      <c r="D20" s="31"/>
      <c r="E20" s="31"/>
      <c r="F20" s="32"/>
      <c r="G20" s="28" t="str">
        <f t="shared" si="0"/>
        <v/>
      </c>
      <c r="H20" s="28" t="str">
        <f t="shared" si="0"/>
        <v/>
      </c>
      <c r="I20" s="28" t="str">
        <f t="shared" si="0"/>
        <v/>
      </c>
      <c r="J20" s="28" t="str">
        <f t="shared" si="0"/>
        <v/>
      </c>
    </row>
    <row r="21" spans="1:10" s="11" customFormat="1" ht="20.100000000000001" customHeight="1" x14ac:dyDescent="0.3">
      <c r="A21" s="35" t="str">
        <f t="shared" si="1"/>
        <v/>
      </c>
      <c r="B21" s="30" t="str">
        <f>IF(Dados!A11="","",IF(Dados!B11="CH",CONCATENATE(Dados!$A$2," ",Dados!A11," ",Dados!B11," ",Dados!C11," X ",Dados!E11," X ",Dados!D11," ",Dados!H11," ",Dados!$I$2,Dados!I11," - ",Dados!F11,Dados!G11),CONCATENATE(Dados!$A$2," ",Dados!A11," ",Dados!B11," ",Dados!C11," X ",Dados!E11,Dados!D11," ",Dados!H11," ",Dados!$I$2,Dados!I11," - ",Dados!F11,Dados!G11)))</f>
        <v/>
      </c>
      <c r="C21" s="31"/>
      <c r="D21" s="31"/>
      <c r="E21" s="31"/>
      <c r="F21" s="32"/>
      <c r="G21" s="28" t="str">
        <f t="shared" si="0"/>
        <v/>
      </c>
      <c r="H21" s="28" t="str">
        <f t="shared" si="0"/>
        <v/>
      </c>
      <c r="I21" s="28" t="str">
        <f t="shared" si="0"/>
        <v/>
      </c>
      <c r="J21" s="28" t="str">
        <f t="shared" si="0"/>
        <v/>
      </c>
    </row>
    <row r="22" spans="1:10" s="11" customFormat="1" ht="20.100000000000001" customHeight="1" x14ac:dyDescent="0.3">
      <c r="A22" s="35" t="str">
        <f t="shared" si="1"/>
        <v/>
      </c>
      <c r="B22" s="30" t="str">
        <f>IF(Dados!A12="","",IF(Dados!B12="CH",CONCATENATE(Dados!$A$2," ",Dados!A12," ",Dados!B12," ",Dados!C12," X ",Dados!E12," X ",Dados!D12," ",Dados!H12," ",Dados!$I$2,Dados!I12," - ",Dados!F12,Dados!G12),CONCATENATE(Dados!$A$2," ",Dados!A12," ",Dados!B12," ",Dados!C12," X ",Dados!E12,Dados!D12," ",Dados!H12," ",Dados!$I$2,Dados!I12," - ",Dados!F12,Dados!G12)))</f>
        <v/>
      </c>
      <c r="C22" s="31"/>
      <c r="D22" s="31"/>
      <c r="E22" s="31"/>
      <c r="F22" s="32"/>
      <c r="G22" s="28" t="str">
        <f t="shared" si="0"/>
        <v/>
      </c>
      <c r="H22" s="28" t="str">
        <f t="shared" si="0"/>
        <v/>
      </c>
      <c r="I22" s="28" t="str">
        <f t="shared" si="0"/>
        <v/>
      </c>
      <c r="J22" s="28" t="str">
        <f t="shared" si="0"/>
        <v/>
      </c>
    </row>
    <row r="23" spans="1:10" s="11" customFormat="1" ht="20.100000000000001" customHeight="1" x14ac:dyDescent="0.3">
      <c r="A23" s="35" t="str">
        <f t="shared" si="1"/>
        <v/>
      </c>
      <c r="B23" s="30" t="str">
        <f>IF(Dados!A13="","",IF(Dados!B13="CH",CONCATENATE(Dados!$A$2," ",Dados!A13," ",Dados!B13," ",Dados!C13," X ",Dados!E13," X ",Dados!D13," ",Dados!H13," ",Dados!$I$2,Dados!I13," - ",Dados!F13,Dados!G13),CONCATENATE(Dados!$A$2," ",Dados!A13," ",Dados!B13," ",Dados!C13," X ",Dados!E13,Dados!D13," ",Dados!H13," ",Dados!$I$2,Dados!I13," - ",Dados!F13,Dados!G13)))</f>
        <v/>
      </c>
      <c r="C23" s="31"/>
      <c r="D23" s="31"/>
      <c r="E23" s="31"/>
      <c r="F23" s="32"/>
      <c r="G23" s="28" t="str">
        <f t="shared" si="0"/>
        <v/>
      </c>
      <c r="H23" s="28" t="str">
        <f t="shared" si="0"/>
        <v/>
      </c>
      <c r="I23" s="28" t="str">
        <f t="shared" si="0"/>
        <v/>
      </c>
      <c r="J23" s="28" t="str">
        <f t="shared" si="0"/>
        <v/>
      </c>
    </row>
    <row r="24" spans="1:10" s="11" customFormat="1" ht="20.100000000000001" customHeight="1" x14ac:dyDescent="0.3">
      <c r="A24" s="35" t="str">
        <f t="shared" si="1"/>
        <v/>
      </c>
      <c r="B24" s="30" t="str">
        <f>IF(Dados!A14="","",IF(Dados!B14="CH",CONCATENATE(Dados!$A$2," ",Dados!A14," ",Dados!B14," ",Dados!C14," X ",Dados!E14," X ",Dados!D14," ",Dados!H14," ",Dados!$I$2,Dados!I14," - ",Dados!F14,Dados!G14),CONCATENATE(Dados!$A$2," ",Dados!A14," ",Dados!B14," ",Dados!C14," X ",Dados!E14,Dados!D14," ",Dados!H14," ",Dados!$I$2,Dados!I14," - ",Dados!F14,Dados!G14)))</f>
        <v/>
      </c>
      <c r="C24" s="31"/>
      <c r="D24" s="31"/>
      <c r="E24" s="31"/>
      <c r="F24" s="32"/>
      <c r="G24" s="28" t="str">
        <f t="shared" si="0"/>
        <v/>
      </c>
      <c r="H24" s="28" t="str">
        <f t="shared" si="0"/>
        <v/>
      </c>
      <c r="I24" s="28" t="str">
        <f t="shared" si="0"/>
        <v/>
      </c>
      <c r="J24" s="28" t="str">
        <f t="shared" si="0"/>
        <v/>
      </c>
    </row>
    <row r="25" spans="1:10" s="11" customFormat="1" ht="20.100000000000001" customHeight="1" x14ac:dyDescent="0.3">
      <c r="A25" s="35" t="str">
        <f t="shared" si="1"/>
        <v/>
      </c>
      <c r="B25" s="30" t="str">
        <f>IF(Dados!A15="","",IF(Dados!B15="CH",CONCATENATE(Dados!$A$2," ",Dados!A15," ",Dados!B15," ",Dados!C15," X ",Dados!E15," X ",Dados!D15," ",Dados!H15," ",Dados!$I$2,Dados!I15," - ",Dados!F15,Dados!G15),CONCATENATE(Dados!$A$2," ",Dados!A15," ",Dados!B15," ",Dados!C15," X ",Dados!E15,Dados!D15," ",Dados!H15," ",Dados!$I$2,Dados!I15," - ",Dados!F15,Dados!G15)))</f>
        <v/>
      </c>
      <c r="C25" s="31"/>
      <c r="D25" s="31"/>
      <c r="E25" s="31"/>
      <c r="F25" s="32"/>
      <c r="G25" s="28" t="str">
        <f t="shared" si="0"/>
        <v/>
      </c>
      <c r="H25" s="28" t="str">
        <f t="shared" si="0"/>
        <v/>
      </c>
      <c r="I25" s="28" t="str">
        <f t="shared" si="0"/>
        <v/>
      </c>
      <c r="J25" s="28" t="str">
        <f t="shared" si="0"/>
        <v/>
      </c>
    </row>
    <row r="26" spans="1:10" s="11" customFormat="1" ht="20.100000000000001" customHeight="1" x14ac:dyDescent="0.3">
      <c r="A26" s="35" t="str">
        <f t="shared" si="1"/>
        <v/>
      </c>
      <c r="B26" s="30" t="str">
        <f>IF(Dados!A16="","",IF(Dados!B16="CH",CONCATENATE(Dados!$A$2," ",Dados!A16," ",Dados!B16," ",Dados!C16," X ",Dados!E16," X ",Dados!D16," ",Dados!H16," ",Dados!$I$2,Dados!I16," - ",Dados!F16,Dados!G16),CONCATENATE(Dados!$A$2," ",Dados!A16," ",Dados!B16," ",Dados!C16," X ",Dados!E16,Dados!D16," ",Dados!H16," ",Dados!$I$2,Dados!I16," - ",Dados!F16,Dados!G16)))</f>
        <v/>
      </c>
      <c r="C26" s="31"/>
      <c r="D26" s="31"/>
      <c r="E26" s="31"/>
      <c r="F26" s="32"/>
      <c r="G26" s="28" t="str">
        <f t="shared" si="0"/>
        <v/>
      </c>
      <c r="H26" s="28" t="str">
        <f t="shared" si="0"/>
        <v/>
      </c>
      <c r="I26" s="28" t="str">
        <f t="shared" si="0"/>
        <v/>
      </c>
      <c r="J26" s="28" t="str">
        <f t="shared" si="0"/>
        <v/>
      </c>
    </row>
    <row r="27" spans="1:10" s="11" customFormat="1" ht="20.100000000000001" customHeight="1" x14ac:dyDescent="0.3">
      <c r="A27" s="35" t="str">
        <f t="shared" si="1"/>
        <v/>
      </c>
      <c r="B27" s="30" t="str">
        <f>IF(Dados!A17="","",IF(Dados!B17="CH",CONCATENATE(Dados!$A$2," ",Dados!A17," ",Dados!B17," ",Dados!C17," X ",Dados!E17," X ",Dados!D17," ",Dados!H17," ",Dados!$I$2,Dados!I17," - ",Dados!F17,Dados!G17),CONCATENATE(Dados!$A$2," ",Dados!A17," ",Dados!B17," ",Dados!C17," X ",Dados!E17,Dados!D17," ",Dados!H17," ",Dados!$I$2,Dados!I17," - ",Dados!F17,Dados!G17)))</f>
        <v/>
      </c>
      <c r="C27" s="31"/>
      <c r="D27" s="31"/>
      <c r="E27" s="31"/>
      <c r="F27" s="32"/>
      <c r="G27" s="28" t="str">
        <f t="shared" si="0"/>
        <v/>
      </c>
      <c r="H27" s="28" t="str">
        <f t="shared" si="0"/>
        <v/>
      </c>
      <c r="I27" s="28" t="str">
        <f t="shared" si="0"/>
        <v/>
      </c>
      <c r="J27" s="28" t="str">
        <f t="shared" si="0"/>
        <v/>
      </c>
    </row>
    <row r="28" spans="1:10" s="11" customFormat="1" ht="20.100000000000001" customHeight="1" x14ac:dyDescent="0.3">
      <c r="A28" s="35" t="str">
        <f t="shared" si="1"/>
        <v/>
      </c>
      <c r="B28" s="30" t="str">
        <f>IF(Dados!A18="","",IF(Dados!B18="CH",CONCATENATE(Dados!$A$2," ",Dados!A18," ",Dados!B18," ",Dados!C18," X ",Dados!E18," X ",Dados!D18," ",Dados!H18," ",Dados!$I$2,Dados!I18," - ",Dados!F18,Dados!G18),CONCATENATE(Dados!$A$2," ",Dados!A18," ",Dados!B18," ",Dados!C18," X ",Dados!E18,Dados!D18," ",Dados!H18," ",Dados!$I$2,Dados!I18," - ",Dados!F18,Dados!G18)))</f>
        <v/>
      </c>
      <c r="C28" s="31"/>
      <c r="D28" s="31"/>
      <c r="E28" s="31"/>
      <c r="F28" s="32"/>
      <c r="G28" s="28" t="str">
        <f t="shared" si="0"/>
        <v/>
      </c>
      <c r="H28" s="28" t="str">
        <f t="shared" si="0"/>
        <v/>
      </c>
      <c r="I28" s="28" t="str">
        <f t="shared" si="0"/>
        <v/>
      </c>
      <c r="J28" s="28" t="str">
        <f t="shared" si="0"/>
        <v/>
      </c>
    </row>
    <row r="29" spans="1:10" s="11" customFormat="1" ht="20.100000000000001" customHeight="1" x14ac:dyDescent="0.3">
      <c r="A29" s="35" t="str">
        <f t="shared" si="1"/>
        <v/>
      </c>
      <c r="B29" s="30" t="str">
        <f>IF(Dados!A19="","",IF(Dados!B19="CH",CONCATENATE(Dados!$A$2," ",Dados!A19," ",Dados!B19," ",Dados!C19," X ",Dados!E19," X ",Dados!D19," ",Dados!H19," ",Dados!$I$2,Dados!I19," - ",Dados!F19,Dados!G19),CONCATENATE(Dados!$A$2," ",Dados!A19," ",Dados!B19," ",Dados!C19," X ",Dados!E19,Dados!D19," ",Dados!H19," ",Dados!$I$2,Dados!I19," - ",Dados!F19,Dados!G19)))</f>
        <v/>
      </c>
      <c r="C29" s="31"/>
      <c r="D29" s="31"/>
      <c r="E29" s="31"/>
      <c r="F29" s="32"/>
      <c r="G29" s="28" t="str">
        <f t="shared" ref="G29:J38" si="2">IF($A29="","",G28)</f>
        <v/>
      </c>
      <c r="H29" s="28" t="str">
        <f t="shared" si="2"/>
        <v/>
      </c>
      <c r="I29" s="28" t="str">
        <f t="shared" si="2"/>
        <v/>
      </c>
      <c r="J29" s="28" t="str">
        <f t="shared" si="2"/>
        <v/>
      </c>
    </row>
    <row r="30" spans="1:10" s="11" customFormat="1" ht="20.100000000000001" customHeight="1" x14ac:dyDescent="0.3">
      <c r="A30" s="35" t="str">
        <f t="shared" si="1"/>
        <v/>
      </c>
      <c r="B30" s="30" t="str">
        <f>IF(Dados!A20="","",IF(Dados!B20="CH",CONCATENATE(Dados!$A$2," ",Dados!A20," ",Dados!B20," ",Dados!C20," X ",Dados!E20," X ",Dados!D20," ",Dados!H20," ",Dados!$I$2,Dados!I20," - ",Dados!F20,Dados!G20),CONCATENATE(Dados!$A$2," ",Dados!A20," ",Dados!B20," ",Dados!C20," X ",Dados!E20,Dados!D20," ",Dados!H20," ",Dados!$I$2,Dados!I20," - ",Dados!F20,Dados!G20)))</f>
        <v/>
      </c>
      <c r="C30" s="33"/>
      <c r="D30" s="33"/>
      <c r="E30" s="33"/>
      <c r="F30" s="34"/>
      <c r="G30" s="28" t="str">
        <f t="shared" si="2"/>
        <v/>
      </c>
      <c r="H30" s="28" t="str">
        <f t="shared" si="2"/>
        <v/>
      </c>
      <c r="I30" s="28" t="str">
        <f t="shared" si="2"/>
        <v/>
      </c>
      <c r="J30" s="28" t="str">
        <f t="shared" si="2"/>
        <v/>
      </c>
    </row>
    <row r="31" spans="1:10" s="11" customFormat="1" ht="20.100000000000001" customHeight="1" x14ac:dyDescent="0.3">
      <c r="A31" s="35" t="str">
        <f t="shared" si="1"/>
        <v/>
      </c>
      <c r="B31" s="81" t="str">
        <f>IF(Dados!A21="","",IF(Dados!B21="CH",CONCATENATE(Dados!$A$2," ",Dados!A21," ",Dados!B21," ",Dados!C21," X ",Dados!E21," X ",Dados!D21," ",Dados!H21," ",Dados!$I$2,Dados!I21," - ",Dados!F21,Dados!G21),CONCATENATE(Dados!$A$2," ",Dados!A21," ",Dados!B21," ",Dados!C21," X ",Dados!E21,Dados!D21," ",Dados!H21," ",Dados!$I$2,Dados!I21," - ",Dados!F21,Dados!G21)))</f>
        <v/>
      </c>
      <c r="C31" s="82"/>
      <c r="D31" s="82"/>
      <c r="E31" s="82"/>
      <c r="F31" s="83"/>
      <c r="G31" s="28" t="str">
        <f t="shared" si="2"/>
        <v/>
      </c>
      <c r="H31" s="28" t="str">
        <f t="shared" si="2"/>
        <v/>
      </c>
      <c r="I31" s="28" t="str">
        <f t="shared" si="2"/>
        <v/>
      </c>
      <c r="J31" s="28" t="str">
        <f t="shared" si="2"/>
        <v/>
      </c>
    </row>
    <row r="32" spans="1:10" s="11" customFormat="1" ht="20.100000000000001" customHeight="1" x14ac:dyDescent="0.3">
      <c r="A32" s="35" t="str">
        <f t="shared" si="1"/>
        <v/>
      </c>
      <c r="B32" s="30" t="str">
        <f>IF(Dados!A22="","",IF(Dados!B22="CH",CONCATENATE(Dados!$A$2," ",Dados!A22," ",Dados!B22," ",Dados!C22," X ",Dados!E22," X ",Dados!D22," ",Dados!H22," ",Dados!$I$2,Dados!I22," - ",Dados!F22,Dados!G22),CONCATENATE(Dados!$A$2," ",Dados!A22," ",Dados!B22," ",Dados!C22," X ",Dados!E22,Dados!D22," ",Dados!H22," ",Dados!$I$2,Dados!I22," - ",Dados!F22,Dados!G22)))</f>
        <v/>
      </c>
      <c r="C32" s="33"/>
      <c r="D32" s="33"/>
      <c r="E32" s="33"/>
      <c r="F32" s="34"/>
      <c r="G32" s="28" t="str">
        <f t="shared" si="2"/>
        <v/>
      </c>
      <c r="H32" s="28" t="str">
        <f t="shared" si="2"/>
        <v/>
      </c>
      <c r="I32" s="28" t="str">
        <f t="shared" si="2"/>
        <v/>
      </c>
      <c r="J32" s="28" t="str">
        <f t="shared" si="2"/>
        <v/>
      </c>
    </row>
    <row r="33" spans="1:10" s="11" customFormat="1" ht="20.100000000000001" customHeight="1" x14ac:dyDescent="0.3">
      <c r="A33" s="35" t="str">
        <f t="shared" si="1"/>
        <v/>
      </c>
      <c r="B33" s="30" t="str">
        <f>IF(Dados!A23="","",IF(Dados!B23="CH",CONCATENATE(Dados!$A$2," ",Dados!A23," ",Dados!B23," ",Dados!C23," X ",Dados!E23," X ",Dados!D23," ",Dados!H23," ",Dados!$I$2,Dados!I23," - ",Dados!F23,Dados!G23),CONCATENATE(Dados!$A$2," ",Dados!A23," ",Dados!B23," ",Dados!C23," X ",Dados!E23,Dados!D23," ",Dados!H23," ",Dados!$I$2,Dados!I23," - ",Dados!F23,Dados!G23)))</f>
        <v/>
      </c>
      <c r="C33" s="31"/>
      <c r="D33" s="31"/>
      <c r="E33" s="31"/>
      <c r="F33" s="32"/>
      <c r="G33" s="28" t="str">
        <f t="shared" si="2"/>
        <v/>
      </c>
      <c r="H33" s="28" t="str">
        <f t="shared" si="2"/>
        <v/>
      </c>
      <c r="I33" s="28" t="str">
        <f t="shared" si="2"/>
        <v/>
      </c>
      <c r="J33" s="28" t="str">
        <f t="shared" si="2"/>
        <v/>
      </c>
    </row>
    <row r="34" spans="1:10" s="11" customFormat="1" ht="20.100000000000001" customHeight="1" x14ac:dyDescent="0.3">
      <c r="A34" s="35" t="str">
        <f t="shared" si="1"/>
        <v/>
      </c>
      <c r="B34" s="30" t="str">
        <f>IF(Dados!A24="","",IF(Dados!B24="CH",CONCATENATE(Dados!$A$2," ",Dados!A24," ",Dados!B24," ",Dados!C24," X ",Dados!E24," X ",Dados!D24," ",Dados!H24," ",Dados!$I$2,Dados!I24," - ",Dados!F24,Dados!G24),CONCATENATE(Dados!$A$2," ",Dados!A24," ",Dados!B24," ",Dados!C24," X ",Dados!E24,Dados!D24," ",Dados!H24," ",Dados!$I$2,Dados!I24," - ",Dados!F24,Dados!G24)))</f>
        <v/>
      </c>
      <c r="C34" s="33"/>
      <c r="D34" s="33"/>
      <c r="E34" s="33"/>
      <c r="F34" s="34"/>
      <c r="G34" s="28" t="str">
        <f t="shared" si="2"/>
        <v/>
      </c>
      <c r="H34" s="28" t="str">
        <f t="shared" si="2"/>
        <v/>
      </c>
      <c r="I34" s="28" t="str">
        <f t="shared" si="2"/>
        <v/>
      </c>
      <c r="J34" s="28" t="str">
        <f t="shared" si="2"/>
        <v/>
      </c>
    </row>
    <row r="35" spans="1:10" s="11" customFormat="1" ht="20.100000000000001" customHeight="1" x14ac:dyDescent="0.3">
      <c r="A35" s="35" t="str">
        <f t="shared" si="1"/>
        <v/>
      </c>
      <c r="B35" s="30" t="str">
        <f>IF(Dados!A25="","",IF(Dados!B25="CH",CONCATENATE(Dados!$A$2," ",Dados!A25," ",Dados!B25," ",Dados!C25," X ",Dados!E25," X ",Dados!D25," ",Dados!H25," ",Dados!$I$2,Dados!I25," - ",Dados!F25,Dados!G25),CONCATENATE(Dados!$A$2," ",Dados!A25," ",Dados!B25," ",Dados!C25," X ",Dados!E25,Dados!D25," ",Dados!H25," ",Dados!$I$2,Dados!I25," - ",Dados!F25,Dados!G25)))</f>
        <v/>
      </c>
      <c r="C35" s="31"/>
      <c r="D35" s="31"/>
      <c r="E35" s="31"/>
      <c r="F35" s="32"/>
      <c r="G35" s="28" t="str">
        <f t="shared" si="2"/>
        <v/>
      </c>
      <c r="H35" s="28" t="str">
        <f t="shared" si="2"/>
        <v/>
      </c>
      <c r="I35" s="28" t="str">
        <f t="shared" si="2"/>
        <v/>
      </c>
      <c r="J35" s="28" t="str">
        <f t="shared" si="2"/>
        <v/>
      </c>
    </row>
    <row r="36" spans="1:10" s="11" customFormat="1" ht="20.100000000000001" customHeight="1" x14ac:dyDescent="0.3">
      <c r="A36" s="35" t="str">
        <f t="shared" si="1"/>
        <v/>
      </c>
      <c r="B36" s="30" t="str">
        <f>IF(Dados!A26="","",IF(Dados!B26="CH",CONCATENATE(Dados!$A$2," ",Dados!A26," ",Dados!B26," ",Dados!C26," X ",Dados!E26," X ",Dados!D26," ",Dados!H26," ",Dados!$I$2,Dados!I26," - ",Dados!F26,Dados!G26),CONCATENATE(Dados!$A$2," ",Dados!A26," ",Dados!B26," ",Dados!C26," X ",Dados!E26,Dados!D26," ",Dados!H26," ",Dados!$I$2,Dados!I26," - ",Dados!F26,Dados!G26)))</f>
        <v/>
      </c>
      <c r="C36" s="33"/>
      <c r="D36" s="33"/>
      <c r="E36" s="33"/>
      <c r="F36" s="34"/>
      <c r="G36" s="28" t="str">
        <f t="shared" si="2"/>
        <v/>
      </c>
      <c r="H36" s="28" t="str">
        <f t="shared" si="2"/>
        <v/>
      </c>
      <c r="I36" s="28" t="str">
        <f t="shared" si="2"/>
        <v/>
      </c>
      <c r="J36" s="28" t="str">
        <f t="shared" si="2"/>
        <v/>
      </c>
    </row>
    <row r="37" spans="1:10" s="11" customFormat="1" ht="20.100000000000001" customHeight="1" x14ac:dyDescent="0.3">
      <c r="A37" s="35" t="str">
        <f t="shared" si="1"/>
        <v/>
      </c>
      <c r="B37" s="30" t="str">
        <f>IF(Dados!A27="","",IF(Dados!B27="CH",CONCATENATE(Dados!$A$2," ",Dados!A27," ",Dados!B27," ",Dados!C27," X ",Dados!E27," X ",Dados!D27," ",Dados!H27," ",Dados!$I$2,Dados!I27," - ",Dados!F27,Dados!G27),CONCATENATE(Dados!$A$2," ",Dados!A27," ",Dados!B27," ",Dados!C27," X ",Dados!E27,Dados!D27," ",Dados!H27," ",Dados!$I$2,Dados!I27," - ",Dados!F27,Dados!G27)))</f>
        <v/>
      </c>
      <c r="C37" s="31"/>
      <c r="D37" s="31"/>
      <c r="E37" s="31"/>
      <c r="F37" s="32"/>
      <c r="G37" s="28" t="str">
        <f t="shared" si="2"/>
        <v/>
      </c>
      <c r="H37" s="28" t="str">
        <f t="shared" si="2"/>
        <v/>
      </c>
      <c r="I37" s="28" t="str">
        <f t="shared" si="2"/>
        <v/>
      </c>
      <c r="J37" s="28" t="str">
        <f t="shared" si="2"/>
        <v/>
      </c>
    </row>
    <row r="38" spans="1:10" s="11" customFormat="1" ht="20.100000000000001" customHeight="1" x14ac:dyDescent="0.3">
      <c r="A38" s="35" t="str">
        <f t="shared" si="1"/>
        <v/>
      </c>
      <c r="B38" s="30" t="str">
        <f>IF(Dados!A28="","",IF(Dados!B28="CH",CONCATENATE(Dados!$A$2," ",Dados!A28," ",Dados!B28," ",Dados!C28," X ",Dados!E28," X ",Dados!D28," ",Dados!H28," ",Dados!$I$2,Dados!I28," - ",Dados!F28,Dados!G28),CONCATENATE(Dados!$A$2," ",Dados!A28," ",Dados!B28," ",Dados!C28," X ",Dados!E28,Dados!D28," ",Dados!H28," ",Dados!$I$2,Dados!I28," - ",Dados!F28,Dados!G28)))</f>
        <v/>
      </c>
      <c r="C38" s="33"/>
      <c r="D38" s="33"/>
      <c r="E38" s="33"/>
      <c r="F38" s="34"/>
      <c r="G38" s="28" t="str">
        <f t="shared" si="2"/>
        <v/>
      </c>
      <c r="H38" s="28" t="str">
        <f t="shared" si="2"/>
        <v/>
      </c>
      <c r="I38" s="28" t="str">
        <f t="shared" si="2"/>
        <v/>
      </c>
      <c r="J38" s="28" t="str">
        <f t="shared" si="2"/>
        <v/>
      </c>
    </row>
    <row r="39" spans="1:10" s="11" customFormat="1" ht="19.5" customHeight="1" x14ac:dyDescent="0.3">
      <c r="A39" s="80" t="s">
        <v>38</v>
      </c>
      <c r="B39" s="80"/>
      <c r="C39" s="80"/>
      <c r="D39" s="80"/>
      <c r="E39" s="80"/>
      <c r="F39" s="80"/>
      <c r="G39" s="80"/>
      <c r="H39" s="80"/>
      <c r="I39" s="80"/>
      <c r="J39" s="80"/>
    </row>
    <row r="40" spans="1:10" s="11" customFormat="1" ht="20.100000000000001" customHeight="1" x14ac:dyDescent="0.3">
      <c r="A40" s="69" t="s">
        <v>10</v>
      </c>
      <c r="B40" s="70"/>
      <c r="C40" s="70"/>
      <c r="D40" s="70"/>
      <c r="E40" s="71"/>
      <c r="F40" s="69" t="s">
        <v>17</v>
      </c>
      <c r="G40" s="71"/>
      <c r="H40" s="69" t="s">
        <v>19</v>
      </c>
      <c r="I40" s="70"/>
      <c r="J40" s="71"/>
    </row>
    <row r="41" spans="1:10" s="11" customFormat="1" ht="21.75" customHeight="1" x14ac:dyDescent="0.3">
      <c r="A41" s="29"/>
      <c r="B41" s="13"/>
      <c r="C41" s="43"/>
      <c r="D41" s="13"/>
      <c r="E41" s="42"/>
      <c r="F41" s="63" t="s">
        <v>15</v>
      </c>
      <c r="G41" s="64"/>
      <c r="H41" s="63" t="s">
        <v>18</v>
      </c>
      <c r="I41" s="65"/>
      <c r="J41" s="64"/>
    </row>
    <row r="42" spans="1:10" s="11" customFormat="1" ht="21.75" customHeight="1" x14ac:dyDescent="0.3">
      <c r="A42" s="14"/>
      <c r="B42" s="13"/>
      <c r="D42" s="13"/>
      <c r="E42" s="19"/>
      <c r="F42" s="63" t="s">
        <v>20</v>
      </c>
      <c r="G42" s="64"/>
      <c r="H42" s="63" t="s">
        <v>14</v>
      </c>
      <c r="I42" s="65"/>
      <c r="J42" s="64"/>
    </row>
    <row r="43" spans="1:10" s="11" customFormat="1" ht="21.75" customHeight="1" x14ac:dyDescent="0.3">
      <c r="A43" s="14"/>
      <c r="B43" s="13"/>
      <c r="D43" s="13"/>
      <c r="E43" s="19"/>
      <c r="F43" s="63"/>
      <c r="G43" s="64"/>
      <c r="H43" s="66"/>
      <c r="I43" s="67"/>
      <c r="J43" s="68"/>
    </row>
    <row r="44" spans="1:10" s="11" customFormat="1" ht="25.2" customHeight="1" x14ac:dyDescent="0.3">
      <c r="A44" s="15"/>
      <c r="B44" s="16"/>
      <c r="C44" s="17"/>
      <c r="D44" s="16"/>
      <c r="E44" s="18"/>
      <c r="F44" s="55"/>
      <c r="G44" s="56"/>
      <c r="H44" s="57"/>
      <c r="I44" s="58"/>
      <c r="J44" s="59"/>
    </row>
    <row r="45" spans="1:10" s="11" customFormat="1" ht="8.1" customHeight="1" x14ac:dyDescent="0.3">
      <c r="A45" s="12"/>
      <c r="B45" s="13"/>
      <c r="D45" s="13"/>
    </row>
    <row r="46" spans="1:10" s="11" customFormat="1" ht="17.25" customHeight="1" x14ac:dyDescent="0.3">
      <c r="A46" s="60" t="s">
        <v>29</v>
      </c>
      <c r="B46" s="61"/>
      <c r="C46" s="61"/>
      <c r="D46" s="61"/>
      <c r="E46" s="62"/>
      <c r="F46" s="60" t="s">
        <v>36</v>
      </c>
      <c r="G46" s="61"/>
      <c r="H46" s="61"/>
      <c r="I46" s="61"/>
      <c r="J46" s="62"/>
    </row>
    <row r="47" spans="1:10" s="11" customFormat="1" ht="20.100000000000001" customHeight="1" x14ac:dyDescent="0.3">
      <c r="A47" s="20" t="s">
        <v>11</v>
      </c>
      <c r="B47" s="52" t="s">
        <v>35</v>
      </c>
      <c r="C47" s="52"/>
      <c r="D47" s="52"/>
      <c r="E47" s="22" t="s">
        <v>21</v>
      </c>
      <c r="F47" s="51" t="s">
        <v>37</v>
      </c>
      <c r="G47" s="52"/>
      <c r="H47" s="52"/>
      <c r="I47" s="21" t="s">
        <v>21</v>
      </c>
      <c r="J47" s="22"/>
    </row>
    <row r="48" spans="1:10" s="11" customFormat="1" ht="20.100000000000001" customHeight="1" x14ac:dyDescent="0.3">
      <c r="A48" s="51" t="s">
        <v>12</v>
      </c>
      <c r="B48" s="52"/>
      <c r="C48" s="52"/>
      <c r="D48" s="52"/>
      <c r="E48" s="22"/>
      <c r="F48" s="20" t="s">
        <v>12</v>
      </c>
      <c r="G48" s="21"/>
      <c r="H48" s="21"/>
      <c r="I48" s="21"/>
      <c r="J48" s="22"/>
    </row>
    <row r="49" spans="1:10" s="11" customFormat="1" ht="20.100000000000001" customHeight="1" x14ac:dyDescent="0.3">
      <c r="A49" s="53" t="s">
        <v>13</v>
      </c>
      <c r="B49" s="54"/>
      <c r="C49" s="54"/>
      <c r="D49" s="24"/>
      <c r="E49" s="25"/>
      <c r="F49" s="23" t="s">
        <v>13</v>
      </c>
      <c r="G49" s="24"/>
      <c r="H49" s="24"/>
      <c r="I49" s="24"/>
      <c r="J49" s="25"/>
    </row>
    <row r="50" spans="1:10" s="11" customFormat="1" ht="15" customHeight="1" x14ac:dyDescent="0.3">
      <c r="A50" s="26"/>
    </row>
    <row r="51" spans="1:10" s="11" customFormat="1" ht="15" customHeight="1" x14ac:dyDescent="0.3"/>
    <row r="52" spans="1:10" s="11" customFormat="1" ht="15" customHeight="1" x14ac:dyDescent="0.3"/>
    <row r="53" spans="1:10" s="11" customFormat="1" ht="15" customHeight="1" x14ac:dyDescent="0.3"/>
    <row r="54" spans="1:10" s="11" customFormat="1" ht="15" customHeight="1" x14ac:dyDescent="0.3"/>
    <row r="55" spans="1:10" s="11" customFormat="1" ht="15" customHeight="1" x14ac:dyDescent="0.3"/>
    <row r="56" spans="1:10" s="11" customFormat="1" ht="15" customHeight="1" x14ac:dyDescent="0.3"/>
    <row r="57" spans="1:10" s="11" customFormat="1" ht="15" customHeight="1" x14ac:dyDescent="0.3"/>
    <row r="58" spans="1:10" s="11" customFormat="1" ht="15" customHeight="1" x14ac:dyDescent="0.3"/>
    <row r="59" spans="1:10" s="11" customFormat="1" ht="15" customHeight="1" x14ac:dyDescent="0.3"/>
    <row r="60" spans="1:10" s="11" customFormat="1" ht="15" customHeight="1" x14ac:dyDescent="0.3"/>
    <row r="61" spans="1:10" s="11" customFormat="1" ht="15" customHeight="1" x14ac:dyDescent="0.3"/>
    <row r="62" spans="1:10" s="11" customFormat="1" ht="15" customHeight="1" x14ac:dyDescent="0.3"/>
    <row r="63" spans="1:10" s="11" customFormat="1" ht="15" customHeight="1" x14ac:dyDescent="0.3"/>
    <row r="64" spans="1:10" s="11" customFormat="1" ht="15" customHeight="1" x14ac:dyDescent="0.3"/>
    <row r="65" s="11" customFormat="1" ht="15" customHeight="1" x14ac:dyDescent="0.3"/>
    <row r="66" s="11" customFormat="1" ht="15" customHeight="1" x14ac:dyDescent="0.3"/>
    <row r="67" s="11" customFormat="1" ht="15" customHeight="1" x14ac:dyDescent="0.3"/>
    <row r="68" s="11" customFormat="1" ht="15" customHeight="1" x14ac:dyDescent="0.3"/>
    <row r="69" s="11" customFormat="1" ht="15" customHeight="1" x14ac:dyDescent="0.3"/>
    <row r="70" s="11" customFormat="1" ht="15" customHeight="1" x14ac:dyDescent="0.3"/>
    <row r="71" s="11" customFormat="1" ht="15" customHeight="1" x14ac:dyDescent="0.3"/>
    <row r="72" s="11" customFormat="1" ht="15" customHeight="1" x14ac:dyDescent="0.3"/>
    <row r="73" s="11" customFormat="1" ht="15" customHeight="1" x14ac:dyDescent="0.3"/>
    <row r="74" s="11" customFormat="1" ht="15" customHeight="1" x14ac:dyDescent="0.3"/>
    <row r="75" s="10" customFormat="1" ht="15" customHeight="1" x14ac:dyDescent="0.3"/>
    <row r="76" s="10" customFormat="1" ht="15" customHeight="1" x14ac:dyDescent="0.3"/>
    <row r="77" s="10" customFormat="1" ht="15" customHeight="1" x14ac:dyDescent="0.3"/>
    <row r="78" s="10" customFormat="1" ht="15" customHeight="1" x14ac:dyDescent="0.3"/>
    <row r="79" s="10" customFormat="1" ht="15" customHeight="1" x14ac:dyDescent="0.3"/>
    <row r="80" s="10" customFormat="1" ht="15" customHeight="1" x14ac:dyDescent="0.3"/>
  </sheetData>
  <mergeCells count="35">
    <mergeCell ref="A1:B4"/>
    <mergeCell ref="C1:H2"/>
    <mergeCell ref="C3:H4"/>
    <mergeCell ref="I3:J3"/>
    <mergeCell ref="I4:J4"/>
    <mergeCell ref="I1:J1"/>
    <mergeCell ref="A40:E40"/>
    <mergeCell ref="F40:G40"/>
    <mergeCell ref="H40:J40"/>
    <mergeCell ref="C6:E6"/>
    <mergeCell ref="G6:H6"/>
    <mergeCell ref="A7:E7"/>
    <mergeCell ref="F7:J7"/>
    <mergeCell ref="C8:E8"/>
    <mergeCell ref="G8:H8"/>
    <mergeCell ref="A10:A11"/>
    <mergeCell ref="B10:F11"/>
    <mergeCell ref="G10:G11"/>
    <mergeCell ref="J10:J11"/>
    <mergeCell ref="A39:J39"/>
    <mergeCell ref="B31:F31"/>
    <mergeCell ref="F41:G41"/>
    <mergeCell ref="H41:J41"/>
    <mergeCell ref="F42:G42"/>
    <mergeCell ref="H42:J42"/>
    <mergeCell ref="F43:G43"/>
    <mergeCell ref="H43:J43"/>
    <mergeCell ref="A48:D48"/>
    <mergeCell ref="A49:C49"/>
    <mergeCell ref="F44:G44"/>
    <mergeCell ref="H44:J44"/>
    <mergeCell ref="A46:E46"/>
    <mergeCell ref="F46:J46"/>
    <mergeCell ref="B47:D47"/>
    <mergeCell ref="F47:H47"/>
  </mergeCells>
  <pageMargins left="0.74803149606299213" right="0.74803149606299213" top="0.59055118110236227" bottom="0.59055118110236227" header="0.31496062992125984" footer="0.31496062992125984"/>
  <pageSetup paperSize="9" scale="73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aixa de seleção 1">
              <controlPr defaultSize="0" autoFill="0" autoLine="0" autoPict="0">
                <anchor moveWithCells="1">
                  <from>
                    <xdr:col>0</xdr:col>
                    <xdr:colOff>7620</xdr:colOff>
                    <xdr:row>40</xdr:row>
                    <xdr:rowOff>68580</xdr:rowOff>
                  </from>
                  <to>
                    <xdr:col>2</xdr:col>
                    <xdr:colOff>655320</xdr:colOff>
                    <xdr:row>41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aixa de seleção 3">
              <controlPr defaultSize="0" autoFill="0" autoLine="0" autoPict="0">
                <anchor moveWithCells="1">
                  <from>
                    <xdr:col>3</xdr:col>
                    <xdr:colOff>22860</xdr:colOff>
                    <xdr:row>40</xdr:row>
                    <xdr:rowOff>76200</xdr:rowOff>
                  </from>
                  <to>
                    <xdr:col>4</xdr:col>
                    <xdr:colOff>678180</xdr:colOff>
                    <xdr:row>41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aixa de seleção 5">
              <controlPr defaultSize="0" autoFill="0" autoLine="0" autoPict="0">
                <anchor moveWithCells="1">
                  <from>
                    <xdr:col>3</xdr:col>
                    <xdr:colOff>22860</xdr:colOff>
                    <xdr:row>42</xdr:row>
                    <xdr:rowOff>76200</xdr:rowOff>
                  </from>
                  <to>
                    <xdr:col>4</xdr:col>
                    <xdr:colOff>937260</xdr:colOff>
                    <xdr:row>43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aixa de seleção 7">
              <controlPr defaultSize="0" autoFill="0" autoLine="0" autoPict="0">
                <anchor moveWithCells="1">
                  <from>
                    <xdr:col>0</xdr:col>
                    <xdr:colOff>7620</xdr:colOff>
                    <xdr:row>42</xdr:row>
                    <xdr:rowOff>76200</xdr:rowOff>
                  </from>
                  <to>
                    <xdr:col>2</xdr:col>
                    <xdr:colOff>640080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aixa de seleção 17">
              <controlPr defaultSize="0" autoFill="0" autoLine="0" autoPict="0">
                <anchor moveWithCells="1">
                  <from>
                    <xdr:col>0</xdr:col>
                    <xdr:colOff>7620</xdr:colOff>
                    <xdr:row>41</xdr:row>
                    <xdr:rowOff>68580</xdr:rowOff>
                  </from>
                  <to>
                    <xdr:col>2</xdr:col>
                    <xdr:colOff>373380</xdr:colOff>
                    <xdr:row>42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aixa de seleção 18">
              <controlPr defaultSize="0" autoFill="0" autoLine="0" autoPict="0">
                <anchor moveWithCells="1">
                  <from>
                    <xdr:col>3</xdr:col>
                    <xdr:colOff>22860</xdr:colOff>
                    <xdr:row>41</xdr:row>
                    <xdr:rowOff>76200</xdr:rowOff>
                  </from>
                  <to>
                    <xdr:col>4</xdr:col>
                    <xdr:colOff>670560</xdr:colOff>
                    <xdr:row>42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aixa de seleção 19">
              <controlPr defaultSize="0" autoFill="0" autoLine="0" autoPict="0">
                <anchor moveWithCells="1">
                  <from>
                    <xdr:col>0</xdr:col>
                    <xdr:colOff>7620</xdr:colOff>
                    <xdr:row>43</xdr:row>
                    <xdr:rowOff>76200</xdr:rowOff>
                  </from>
                  <to>
                    <xdr:col>2</xdr:col>
                    <xdr:colOff>403860</xdr:colOff>
                    <xdr:row>44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Dados</vt:lpstr>
      <vt:lpstr>GRD </vt:lpstr>
      <vt:lpstr>'GRD '!Area_de_impressao</vt:lpstr>
    </vt:vector>
  </TitlesOfParts>
  <Company>CPC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Coppola</dc:creator>
  <cp:lastModifiedBy>David Erick</cp:lastModifiedBy>
  <cp:lastPrinted>2024-02-19T14:07:18Z</cp:lastPrinted>
  <dcterms:created xsi:type="dcterms:W3CDTF">2010-08-20T18:06:34Z</dcterms:created>
  <dcterms:modified xsi:type="dcterms:W3CDTF">2024-02-19T14:07:18Z</dcterms:modified>
</cp:coreProperties>
</file>